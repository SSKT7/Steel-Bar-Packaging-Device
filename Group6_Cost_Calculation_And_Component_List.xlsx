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wann\Downloads\Reviewed documents\"/>
    </mc:Choice>
  </mc:AlternateContent>
  <xr:revisionPtr revIDLastSave="0" documentId="8_{9A3F93A8-23D1-4617-A5BE-66C44D307F6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ost Estimation" sheetId="1" r:id="rId1"/>
  </sheets>
  <definedNames>
    <definedName name="_xlnm.Print_Titles" localSheetId="0">'Cost Estimation'!$1:$3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5" i="1" l="1"/>
  <c r="E54" i="1"/>
  <c r="E53" i="1"/>
  <c r="E52" i="1"/>
  <c r="E51" i="1"/>
  <c r="E50" i="1"/>
  <c r="E56" i="1" s="1"/>
  <c r="F66" i="1" s="1"/>
  <c r="E45" i="1"/>
  <c r="E46" i="1" s="1"/>
  <c r="F65" i="1" s="1"/>
  <c r="E44" i="1"/>
  <c r="E43" i="1"/>
  <c r="E39" i="1"/>
  <c r="F64" i="1" s="1"/>
  <c r="E38" i="1"/>
  <c r="E33" i="1"/>
  <c r="E32" i="1"/>
  <c r="E31" i="1"/>
  <c r="E34" i="1" s="1"/>
  <c r="F63" i="1" s="1"/>
  <c r="E26" i="1"/>
  <c r="E25" i="1"/>
  <c r="E24" i="1"/>
  <c r="E23" i="1"/>
  <c r="E27" i="1" s="1"/>
  <c r="F62" i="1" s="1"/>
  <c r="E18" i="1"/>
  <c r="E19" i="1" s="1"/>
  <c r="F61" i="1" s="1"/>
  <c r="E13" i="1"/>
  <c r="E12" i="1"/>
  <c r="E11" i="1"/>
  <c r="E10" i="1"/>
  <c r="E14" i="1" s="1"/>
  <c r="F60" i="1" s="1"/>
  <c r="E9" i="1"/>
  <c r="E8" i="1"/>
  <c r="E7" i="1"/>
  <c r="E6" i="1"/>
  <c r="F67" i="1" l="1"/>
  <c r="F74" i="1" l="1"/>
  <c r="F71" i="1"/>
  <c r="F76" i="1" l="1"/>
  <c r="F75" i="1"/>
</calcChain>
</file>

<file path=xl/sharedStrings.xml><?xml version="1.0" encoding="utf-8"?>
<sst xmlns="http://schemas.openxmlformats.org/spreadsheetml/2006/main" count="171" uniqueCount="111">
  <si>
    <t>PRODUCT COST &amp; ESTIMATION</t>
  </si>
  <si>
    <t>Group 6  |  Fardin Islam Mahe  |  Swann Joly  |  Geehun Kong  |  Salim Sadman Khan Tasin  |  Md Kauser  |  Arjun Bhandari</t>
  </si>
  <si>
    <t>A.  Structural &amp; Mechanical Components</t>
  </si>
  <si>
    <t>No.</t>
  </si>
  <si>
    <t>Component / Description</t>
  </si>
  <si>
    <t>Qty</t>
  </si>
  <si>
    <t>Unit Price (€)</t>
  </si>
  <si>
    <t>Total Cost (€)</t>
  </si>
  <si>
    <t>Supplier</t>
  </si>
  <si>
    <t>A1</t>
  </si>
  <si>
    <t>Main Structure – Steel Profiles S235 (HEA100 columns, RHS beams, angle bracing)</t>
  </si>
  <si>
    <t>400 kg</t>
  </si>
  <si>
    <t>Feon oy</t>
  </si>
  <si>
    <t>A2</t>
  </si>
  <si>
    <t>Aluminum Pressure Bar</t>
  </si>
  <si>
    <t>Alu-Rebel.fi</t>
  </si>
  <si>
    <t>A3</t>
  </si>
  <si>
    <t>Aluminum Heat Bar</t>
  </si>
  <si>
    <t>A4</t>
  </si>
  <si>
    <t>Heat Isolation Strip</t>
  </si>
  <si>
    <t>Etola.fi</t>
  </si>
  <si>
    <t>A5</t>
  </si>
  <si>
    <t>Cylinder Holder</t>
  </si>
  <si>
    <t>Würth Finland</t>
  </si>
  <si>
    <t>A6</t>
  </si>
  <si>
    <t>Bag Holder Contraption – Steel Frame S235 (RHS frame, tube rail, angle bracing)</t>
  </si>
  <si>
    <t>200 kg</t>
  </si>
  <si>
    <t>A7</t>
  </si>
  <si>
    <t>Soldered Steel Plate Cover</t>
  </si>
  <si>
    <t>Terästarvike.fi</t>
  </si>
  <si>
    <t>A8</t>
  </si>
  <si>
    <t>Removable Aluminum Cover</t>
  </si>
  <si>
    <t>Subtotal</t>
  </si>
  <si>
    <t>B.  Pneumatic System</t>
  </si>
  <si>
    <t>B1</t>
  </si>
  <si>
    <t>Festo DNU-40-100 PPV-A Cylinder</t>
  </si>
  <si>
    <t>ahlsell.fi</t>
  </si>
  <si>
    <t>C.  Fasteners &amp; Assembly Hardware</t>
  </si>
  <si>
    <t>C1</t>
  </si>
  <si>
    <t>Screw M16 × 40mm</t>
  </si>
  <si>
    <t>IKH.fi – M16×40 Bolt DIN933</t>
  </si>
  <si>
    <t>C2</t>
  </si>
  <si>
    <t>Bolt M16</t>
  </si>
  <si>
    <t>IKH.fi – M16 Bolts &amp; Nuts</t>
  </si>
  <si>
    <t>C3</t>
  </si>
  <si>
    <t>Screw M5</t>
  </si>
  <si>
    <t>IKH.fi – Bolts &amp; Nuts</t>
  </si>
  <si>
    <t>C4</t>
  </si>
  <si>
    <t>M10 Screw 40L</t>
  </si>
  <si>
    <t>D.  Material Handling System</t>
  </si>
  <si>
    <t>D1</t>
  </si>
  <si>
    <t>Heavy-Duty Roller Conveyor – 12m × 4m × 1.2m, ≥5t capacity (dimensions adjustable)</t>
  </si>
  <si>
    <t>Ferroplan Oy</t>
  </si>
  <si>
    <t>D2</t>
  </si>
  <si>
    <t>Heavy-Duty Roller Conveyor – 3m × 4m × 1.2m, ≥5t capacity (dimensions adjustable)</t>
  </si>
  <si>
    <t>D3</t>
  </si>
  <si>
    <t>Forklift – 5t Capacity, Electric/LPG (e.g. Toyota Traigo80 counterbalanced)</t>
  </si>
  <si>
    <t>Toyota Material Handling Finland</t>
  </si>
  <si>
    <t>E.  Safety System</t>
  </si>
  <si>
    <t>E1</t>
  </si>
  <si>
    <t>Perimeter Fence (Steel Mesh &amp; Posts) – 350 m</t>
  </si>
  <si>
    <t>Troax Oy</t>
  </si>
  <si>
    <t>F.  Fabrication Consumables</t>
  </si>
  <si>
    <t>F1</t>
  </si>
  <si>
    <t>Gas  |  Welding Gas (Mison 18 / 20L)</t>
  </si>
  <si>
    <t>aga.fi</t>
  </si>
  <si>
    <t>F2</t>
  </si>
  <si>
    <t>Wire  |  Welding Wire (5 kg)</t>
  </si>
  <si>
    <t>wurth.fi</t>
  </si>
  <si>
    <t>F3</t>
  </si>
  <si>
    <t>Tools  |  Cutting &amp; Grinding Discs</t>
  </si>
  <si>
    <t>G.  Bag Material (Black LDPE – Kivo, Finnish Market)</t>
  </si>
  <si>
    <t>G1</t>
  </si>
  <si>
    <t>Black LDPE Film Bag – 0.5 m wide × 13 m long, 200 micron | Est. weight: ~1.196 kg/pc</t>
  </si>
  <si>
    <t>1 pc</t>
  </si>
  <si>
    <t>Kivo (kivo.nl) – Finnish market rate, 40 €/kg</t>
  </si>
  <si>
    <t>G2</t>
  </si>
  <si>
    <t>Black LDPE Film Bag – 1.0 m wide × 13 m long, 200 micron | Est. weight: ~2.392 kg/pc</t>
  </si>
  <si>
    <t>G3</t>
  </si>
  <si>
    <t>Black LDPE Film Bag – 1.5 m wide × 13 m long, 200 micron | Est. weight: ~3.588 kg/pc</t>
  </si>
  <si>
    <t>G4</t>
  </si>
  <si>
    <t>Black LDPE Film Bag – 2.0 m wide × 13 m long, 200 micron | Est. weight: ~4.784 kg/pc</t>
  </si>
  <si>
    <t>G5</t>
  </si>
  <si>
    <t>Black LDPE Film Bag – 3.0 m wide × 13 m long, 200 micron | Est. weight: ~7.176 kg/pc</t>
  </si>
  <si>
    <t>G6</t>
  </si>
  <si>
    <t>Black LDPE Film Bag – 4.0 m wide × 13 m long, 200 micron | Est. weight: ~9.568 kg/pc</t>
  </si>
  <si>
    <t>TOTAL COST SUMMARY</t>
  </si>
  <si>
    <t>Cost Category</t>
  </si>
  <si>
    <t>Amount (€)</t>
  </si>
  <si>
    <t>A.</t>
  </si>
  <si>
    <t>Structural &amp; Mechanical Components</t>
  </si>
  <si>
    <t>B.</t>
  </si>
  <si>
    <t>Pneumatic System</t>
  </si>
  <si>
    <t>C.</t>
  </si>
  <si>
    <t>Fasteners &amp; Assembly Hardware</t>
  </si>
  <si>
    <t>D.</t>
  </si>
  <si>
    <t>Material Handling System</t>
  </si>
  <si>
    <t>E.</t>
  </si>
  <si>
    <t>Safety System</t>
  </si>
  <si>
    <t>F.</t>
  </si>
  <si>
    <t>Fabrication Consumables</t>
  </si>
  <si>
    <t>G.</t>
  </si>
  <si>
    <t>Bag Material (Black LDPE – Kivo)</t>
  </si>
  <si>
    <t>BASE PROJECT COST</t>
  </si>
  <si>
    <t>FINAL PROJECT ESTIMATE</t>
  </si>
  <si>
    <t>Base Material Cost</t>
  </si>
  <si>
    <t>Labor Cost – Low Estimate</t>
  </si>
  <si>
    <t>Labor Cost – High Estimate</t>
  </si>
  <si>
    <t>Contingency (10% of Base Cost)</t>
  </si>
  <si>
    <t>TOTAL ESTIMATED BUDGET – LOW</t>
  </si>
  <si>
    <t>TOTAL ESTIMATED BUDGET –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</si>
</sst>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BDD7EE"/>
      </patternFill>
    </fill>
    <fill>
      <patternFill patternType="solid">
        <fgColor rgb="FFFFFFFF"/>
        <bgColor rgb="FFF2F2F2"/>
      </patternFill>
    </fill>
    <fill>
      <patternFill patternType="solid">
        <fgColor rgb="FF2E5FA3"/>
        <bgColor rgb="FF4472C4"/>
      </patternFill>
    </fill>
    <fill>
      <patternFill patternType="solid">
        <fgColor rgb="FF2980B9"/>
        <bgColor rgb="FF4472C4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6E4F0"/>
      </patternFill>
    </fill>
    <fill>
      <patternFill patternType="solid">
        <fgColor rgb="FF375623"/>
        <bgColor rgb="FF1E6B3C"/>
      </patternFill>
    </fill>
    <fill>
      <patternFill patternType="solid">
        <fgColor rgb="FF1E6B3C"/>
        <bgColor rgb="FF375623"/>
      </patternFill>
    </fill>
  </fills>
  <borders count="5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7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0" fillId="4" borderId="0" xfId="0" applyFill="1"/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right" vertical="center" wrapText="1"/>
    </xf>
    <xf numFmtId="0" fontId="5" fillId="7" borderId="3" xfId="0" applyFont="1" applyFill="1" applyBorder="1" applyAlignment="1">
      <alignment horizontal="center" vertical="center" wrapText="1"/>
    </xf>
    <xf numFmtId="164" fontId="5" fillId="7" borderId="3" xfId="0" applyNumberFormat="1" applyFont="1" applyFill="1" applyBorder="1" applyAlignment="1">
      <alignment horizontal="right" vertical="center" wrapText="1"/>
    </xf>
    <xf numFmtId="164" fontId="6" fillId="8" borderId="2" xfId="0" applyNumberFormat="1" applyFont="1" applyFill="1" applyBorder="1" applyAlignment="1">
      <alignment horizontal="right" vertical="center"/>
    </xf>
    <xf numFmtId="0" fontId="0" fillId="8" borderId="3" xfId="0" applyFill="1" applyBorder="1"/>
    <xf numFmtId="0" fontId="8" fillId="4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right" vertical="center"/>
    </xf>
    <xf numFmtId="164" fontId="8" fillId="4" borderId="3" xfId="0" applyNumberFormat="1" applyFont="1" applyFill="1" applyBorder="1" applyAlignment="1">
      <alignment horizontal="right" vertical="center" wrapText="1"/>
    </xf>
    <xf numFmtId="164" fontId="9" fillId="9" borderId="2" xfId="0" applyNumberFormat="1" applyFont="1" applyFill="1" applyBorder="1" applyAlignment="1">
      <alignment horizontal="right" vertical="center"/>
    </xf>
    <xf numFmtId="164" fontId="9" fillId="10" borderId="2" xfId="0" applyNumberFormat="1" applyFont="1" applyFill="1" applyBorder="1" applyAlignment="1">
      <alignment horizontal="right" vertical="center"/>
    </xf>
    <xf numFmtId="0" fontId="3" fillId="9" borderId="4" xfId="0" applyFont="1" applyFill="1" applyBorder="1" applyAlignment="1">
      <alignment horizontal="right" vertical="center" indent="1"/>
    </xf>
    <xf numFmtId="0" fontId="3" fillId="10" borderId="4" xfId="0" applyFont="1" applyFill="1" applyBorder="1" applyAlignment="1">
      <alignment horizontal="right" vertical="center" indent="1"/>
    </xf>
    <xf numFmtId="0" fontId="7" fillId="2" borderId="0" xfId="0" applyFont="1" applyFill="1" applyAlignment="1">
      <alignment horizontal="center" vertical="center"/>
    </xf>
    <xf numFmtId="0" fontId="8" fillId="4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right" vertical="center" indent="1"/>
    </xf>
    <xf numFmtId="0" fontId="6" fillId="8" borderId="3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2980B9"/>
      <rgbColor rgb="FFBFBFBF"/>
      <rgbColor rgb="FF808080"/>
      <rgbColor rgb="FF9999FF"/>
      <rgbColor rgb="FF993366"/>
      <rgbColor rgb="FFF2F2F2"/>
      <rgbColor rgb="FFD6E4F0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zoomScale="70" zoomScaleNormal="70" workbookViewId="0">
      <pane ySplit="3" topLeftCell="A68" activePane="bottomLeft" state="frozen"/>
      <selection pane="bottomLeft" activeCell="A76" sqref="A76:E76"/>
    </sheetView>
  </sheetViews>
  <sheetFormatPr baseColWidth="10" defaultColWidth="8.6328125" defaultRowHeight="14.5" x14ac:dyDescent="0.35"/>
  <cols>
    <col min="1" max="1" width="6" customWidth="1"/>
    <col min="2" max="2" width="60" customWidth="1"/>
    <col min="3" max="3" width="14" customWidth="1"/>
    <col min="4" max="5" width="16" customWidth="1"/>
    <col min="6" max="6" width="30" customWidth="1"/>
  </cols>
  <sheetData>
    <row r="1" spans="1:6" ht="30" customHeight="1" x14ac:dyDescent="0.35">
      <c r="A1" s="27" t="s">
        <v>0</v>
      </c>
      <c r="B1" s="27"/>
      <c r="C1" s="27"/>
      <c r="D1" s="27"/>
      <c r="E1" s="27"/>
      <c r="F1" s="27"/>
    </row>
    <row r="2" spans="1:6" ht="21.75" customHeight="1" x14ac:dyDescent="0.35">
      <c r="A2" s="28" t="s">
        <v>1</v>
      </c>
      <c r="B2" s="28"/>
      <c r="C2" s="28"/>
      <c r="D2" s="28"/>
      <c r="E2" s="28"/>
      <c r="F2" s="28"/>
    </row>
    <row r="3" spans="1:6" ht="15.75" customHeight="1" x14ac:dyDescent="0.35">
      <c r="A3" s="3"/>
      <c r="B3" s="3"/>
      <c r="C3" s="3"/>
      <c r="D3" s="3"/>
      <c r="E3" s="3"/>
      <c r="F3" s="3"/>
    </row>
    <row r="4" spans="1:6" ht="18" customHeight="1" x14ac:dyDescent="0.35">
      <c r="A4" s="26" t="s">
        <v>2</v>
      </c>
      <c r="B4" s="26"/>
      <c r="C4" s="26"/>
      <c r="D4" s="26"/>
      <c r="E4" s="26"/>
      <c r="F4" s="26"/>
    </row>
    <row r="5" spans="1:6" ht="30" customHeight="1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5" t="s">
        <v>8</v>
      </c>
    </row>
    <row r="6" spans="1:6" ht="30" customHeight="1" x14ac:dyDescent="0.35">
      <c r="A6" s="6" t="s">
        <v>9</v>
      </c>
      <c r="B6" s="2" t="s">
        <v>10</v>
      </c>
      <c r="C6" s="6" t="s">
        <v>11</v>
      </c>
      <c r="D6" s="7">
        <v>4</v>
      </c>
      <c r="E6" s="7">
        <f>400*D6</f>
        <v>1600</v>
      </c>
      <c r="F6" s="2" t="s">
        <v>12</v>
      </c>
    </row>
    <row r="7" spans="1:6" ht="30" customHeight="1" x14ac:dyDescent="0.35">
      <c r="A7" s="8" t="s">
        <v>13</v>
      </c>
      <c r="B7" s="1" t="s">
        <v>14</v>
      </c>
      <c r="C7" s="8">
        <v>1</v>
      </c>
      <c r="D7" s="9">
        <v>160</v>
      </c>
      <c r="E7" s="9">
        <f>C7*D7</f>
        <v>160</v>
      </c>
      <c r="F7" s="1" t="s">
        <v>15</v>
      </c>
    </row>
    <row r="8" spans="1:6" ht="30" customHeight="1" x14ac:dyDescent="0.35">
      <c r="A8" s="6" t="s">
        <v>16</v>
      </c>
      <c r="B8" s="2" t="s">
        <v>17</v>
      </c>
      <c r="C8" s="6">
        <v>1</v>
      </c>
      <c r="D8" s="7">
        <v>250</v>
      </c>
      <c r="E8" s="7">
        <f>C8*D8</f>
        <v>250</v>
      </c>
      <c r="F8" s="2" t="s">
        <v>15</v>
      </c>
    </row>
    <row r="9" spans="1:6" ht="30" customHeight="1" x14ac:dyDescent="0.35">
      <c r="A9" s="8" t="s">
        <v>18</v>
      </c>
      <c r="B9" s="1" t="s">
        <v>19</v>
      </c>
      <c r="C9" s="8">
        <v>1</v>
      </c>
      <c r="D9" s="9">
        <v>45</v>
      </c>
      <c r="E9" s="9">
        <f>C9*D9</f>
        <v>45</v>
      </c>
      <c r="F9" s="1" t="s">
        <v>20</v>
      </c>
    </row>
    <row r="10" spans="1:6" ht="30" customHeight="1" x14ac:dyDescent="0.35">
      <c r="A10" s="6" t="s">
        <v>21</v>
      </c>
      <c r="B10" s="2" t="s">
        <v>22</v>
      </c>
      <c r="C10" s="6">
        <v>1</v>
      </c>
      <c r="D10" s="7">
        <v>50</v>
      </c>
      <c r="E10" s="7">
        <f>C10*D10</f>
        <v>50</v>
      </c>
      <c r="F10" s="2" t="s">
        <v>23</v>
      </c>
    </row>
    <row r="11" spans="1:6" ht="30" customHeight="1" x14ac:dyDescent="0.35">
      <c r="A11" s="8" t="s">
        <v>24</v>
      </c>
      <c r="B11" s="1" t="s">
        <v>25</v>
      </c>
      <c r="C11" s="8" t="s">
        <v>26</v>
      </c>
      <c r="D11" s="9">
        <v>4</v>
      </c>
      <c r="E11" s="9">
        <f>200*D11</f>
        <v>800</v>
      </c>
      <c r="F11" s="1" t="s">
        <v>12</v>
      </c>
    </row>
    <row r="12" spans="1:6" ht="30" customHeight="1" x14ac:dyDescent="0.35">
      <c r="A12" s="6" t="s">
        <v>27</v>
      </c>
      <c r="B12" s="2" t="s">
        <v>28</v>
      </c>
      <c r="C12" s="6">
        <v>1</v>
      </c>
      <c r="D12" s="7">
        <v>200</v>
      </c>
      <c r="E12" s="7">
        <f>C12*D12</f>
        <v>200</v>
      </c>
      <c r="F12" s="2" t="s">
        <v>29</v>
      </c>
    </row>
    <row r="13" spans="1:6" ht="30" customHeight="1" x14ac:dyDescent="0.35">
      <c r="A13" s="8" t="s">
        <v>30</v>
      </c>
      <c r="B13" s="1" t="s">
        <v>31</v>
      </c>
      <c r="C13" s="8">
        <v>1</v>
      </c>
      <c r="D13" s="9">
        <v>130</v>
      </c>
      <c r="E13" s="9">
        <f>C13*D13</f>
        <v>130</v>
      </c>
      <c r="F13" s="1" t="s">
        <v>15</v>
      </c>
    </row>
    <row r="14" spans="1:6" ht="18" customHeight="1" x14ac:dyDescent="0.35">
      <c r="A14" s="25" t="s">
        <v>32</v>
      </c>
      <c r="B14" s="25"/>
      <c r="C14" s="25"/>
      <c r="D14" s="25"/>
      <c r="E14" s="10">
        <f>SUM(E6:E13)</f>
        <v>3235</v>
      </c>
      <c r="F14" s="11"/>
    </row>
    <row r="16" spans="1:6" ht="18" customHeight="1" x14ac:dyDescent="0.35">
      <c r="A16" s="26" t="s">
        <v>33</v>
      </c>
      <c r="B16" s="26"/>
      <c r="C16" s="26"/>
      <c r="D16" s="26"/>
      <c r="E16" s="26"/>
      <c r="F16" s="26"/>
    </row>
    <row r="17" spans="1:6" ht="30" customHeight="1" x14ac:dyDescent="0.35">
      <c r="A17" s="4" t="s">
        <v>3</v>
      </c>
      <c r="B17" s="5" t="s">
        <v>4</v>
      </c>
      <c r="C17" s="4" t="s">
        <v>5</v>
      </c>
      <c r="D17" s="4" t="s">
        <v>6</v>
      </c>
      <c r="E17" s="4" t="s">
        <v>7</v>
      </c>
      <c r="F17" s="5" t="s">
        <v>8</v>
      </c>
    </row>
    <row r="18" spans="1:6" ht="30" customHeight="1" x14ac:dyDescent="0.35">
      <c r="A18" s="6" t="s">
        <v>34</v>
      </c>
      <c r="B18" s="2" t="s">
        <v>35</v>
      </c>
      <c r="C18" s="6">
        <v>4</v>
      </c>
      <c r="D18" s="7">
        <v>160</v>
      </c>
      <c r="E18" s="7">
        <f>C18*D18</f>
        <v>640</v>
      </c>
      <c r="F18" s="2" t="s">
        <v>36</v>
      </c>
    </row>
    <row r="19" spans="1:6" ht="18" customHeight="1" x14ac:dyDescent="0.35">
      <c r="A19" s="25" t="s">
        <v>32</v>
      </c>
      <c r="B19" s="25"/>
      <c r="C19" s="25"/>
      <c r="D19" s="25"/>
      <c r="E19" s="10">
        <f>SUM(E18:E18)</f>
        <v>640</v>
      </c>
      <c r="F19" s="11"/>
    </row>
    <row r="21" spans="1:6" ht="18" customHeight="1" x14ac:dyDescent="0.35">
      <c r="A21" s="26" t="s">
        <v>37</v>
      </c>
      <c r="B21" s="26"/>
      <c r="C21" s="26"/>
      <c r="D21" s="26"/>
      <c r="E21" s="26"/>
      <c r="F21" s="26"/>
    </row>
    <row r="22" spans="1:6" ht="30" customHeight="1" x14ac:dyDescent="0.35">
      <c r="A22" s="4" t="s">
        <v>3</v>
      </c>
      <c r="B22" s="5" t="s">
        <v>4</v>
      </c>
      <c r="C22" s="4" t="s">
        <v>5</v>
      </c>
      <c r="D22" s="4" t="s">
        <v>6</v>
      </c>
      <c r="E22" s="4" t="s">
        <v>7</v>
      </c>
      <c r="F22" s="5" t="s">
        <v>8</v>
      </c>
    </row>
    <row r="23" spans="1:6" ht="30" customHeight="1" x14ac:dyDescent="0.35">
      <c r="A23" s="6" t="s">
        <v>38</v>
      </c>
      <c r="B23" s="2" t="s">
        <v>39</v>
      </c>
      <c r="C23" s="6">
        <v>16</v>
      </c>
      <c r="D23" s="7">
        <v>1.8</v>
      </c>
      <c r="E23" s="7">
        <f>C23*D23</f>
        <v>28.8</v>
      </c>
      <c r="F23" s="2" t="s">
        <v>40</v>
      </c>
    </row>
    <row r="24" spans="1:6" ht="30" customHeight="1" x14ac:dyDescent="0.35">
      <c r="A24" s="8" t="s">
        <v>41</v>
      </c>
      <c r="B24" s="1" t="s">
        <v>42</v>
      </c>
      <c r="C24" s="8">
        <v>16</v>
      </c>
      <c r="D24" s="9">
        <v>0.95</v>
      </c>
      <c r="E24" s="9">
        <f>C24*D24</f>
        <v>15.2</v>
      </c>
      <c r="F24" s="1" t="s">
        <v>43</v>
      </c>
    </row>
    <row r="25" spans="1:6" ht="30" customHeight="1" x14ac:dyDescent="0.35">
      <c r="A25" s="6" t="s">
        <v>44</v>
      </c>
      <c r="B25" s="2" t="s">
        <v>45</v>
      </c>
      <c r="C25" s="6">
        <v>16</v>
      </c>
      <c r="D25" s="7">
        <v>0.15</v>
      </c>
      <c r="E25" s="7">
        <f>C25*D25</f>
        <v>2.4</v>
      </c>
      <c r="F25" s="2" t="s">
        <v>46</v>
      </c>
    </row>
    <row r="26" spans="1:6" ht="30" customHeight="1" x14ac:dyDescent="0.35">
      <c r="A26" s="8" t="s">
        <v>47</v>
      </c>
      <c r="B26" s="1" t="s">
        <v>48</v>
      </c>
      <c r="C26" s="8">
        <v>23</v>
      </c>
      <c r="D26" s="9">
        <v>0.65</v>
      </c>
      <c r="E26" s="9">
        <f>C26*D26</f>
        <v>14.950000000000001</v>
      </c>
      <c r="F26" s="1" t="s">
        <v>46</v>
      </c>
    </row>
    <row r="27" spans="1:6" ht="18" customHeight="1" x14ac:dyDescent="0.35">
      <c r="A27" s="25" t="s">
        <v>32</v>
      </c>
      <c r="B27" s="25"/>
      <c r="C27" s="25"/>
      <c r="D27" s="25"/>
      <c r="E27" s="10">
        <f>SUM(E23:E26)</f>
        <v>61.35</v>
      </c>
      <c r="F27" s="11"/>
    </row>
    <row r="29" spans="1:6" ht="18" customHeight="1" x14ac:dyDescent="0.35">
      <c r="A29" s="26" t="s">
        <v>49</v>
      </c>
      <c r="B29" s="26"/>
      <c r="C29" s="26"/>
      <c r="D29" s="26"/>
      <c r="E29" s="26"/>
      <c r="F29" s="26"/>
    </row>
    <row r="30" spans="1:6" ht="30" customHeight="1" x14ac:dyDescent="0.35">
      <c r="A30" s="4" t="s">
        <v>3</v>
      </c>
      <c r="B30" s="5" t="s">
        <v>4</v>
      </c>
      <c r="C30" s="4" t="s">
        <v>5</v>
      </c>
      <c r="D30" s="4" t="s">
        <v>6</v>
      </c>
      <c r="E30" s="4" t="s">
        <v>7</v>
      </c>
      <c r="F30" s="5" t="s">
        <v>8</v>
      </c>
    </row>
    <row r="31" spans="1:6" ht="30" customHeight="1" x14ac:dyDescent="0.35">
      <c r="A31" s="6" t="s">
        <v>50</v>
      </c>
      <c r="B31" s="2" t="s">
        <v>51</v>
      </c>
      <c r="C31" s="6">
        <v>2</v>
      </c>
      <c r="D31" s="7">
        <v>25000</v>
      </c>
      <c r="E31" s="7">
        <f>C31*D31</f>
        <v>50000</v>
      </c>
      <c r="F31" s="2" t="s">
        <v>52</v>
      </c>
    </row>
    <row r="32" spans="1:6" ht="30" customHeight="1" x14ac:dyDescent="0.35">
      <c r="A32" s="8" t="s">
        <v>53</v>
      </c>
      <c r="B32" s="1" t="s">
        <v>54</v>
      </c>
      <c r="C32" s="8">
        <v>1</v>
      </c>
      <c r="D32" s="9">
        <v>5000</v>
      </c>
      <c r="E32" s="9">
        <f>C32*D32</f>
        <v>5000</v>
      </c>
      <c r="F32" s="1" t="s">
        <v>52</v>
      </c>
    </row>
    <row r="33" spans="1:6" ht="30" customHeight="1" x14ac:dyDescent="0.35">
      <c r="A33" s="6" t="s">
        <v>55</v>
      </c>
      <c r="B33" s="2" t="s">
        <v>56</v>
      </c>
      <c r="C33" s="6">
        <v>2</v>
      </c>
      <c r="D33" s="7">
        <v>80000</v>
      </c>
      <c r="E33" s="7">
        <f>C33*D33</f>
        <v>160000</v>
      </c>
      <c r="F33" s="2" t="s">
        <v>57</v>
      </c>
    </row>
    <row r="34" spans="1:6" ht="18" customHeight="1" x14ac:dyDescent="0.35">
      <c r="A34" s="25" t="s">
        <v>32</v>
      </c>
      <c r="B34" s="25"/>
      <c r="C34" s="25"/>
      <c r="D34" s="25"/>
      <c r="E34" s="10">
        <f>SUM(E31:E33)</f>
        <v>215000</v>
      </c>
      <c r="F34" s="11"/>
    </row>
    <row r="36" spans="1:6" ht="18" customHeight="1" x14ac:dyDescent="0.35">
      <c r="A36" s="26" t="s">
        <v>58</v>
      </c>
      <c r="B36" s="26"/>
      <c r="C36" s="26"/>
      <c r="D36" s="26"/>
      <c r="E36" s="26"/>
      <c r="F36" s="26"/>
    </row>
    <row r="37" spans="1:6" ht="30" customHeight="1" x14ac:dyDescent="0.35">
      <c r="A37" s="4" t="s">
        <v>3</v>
      </c>
      <c r="B37" s="5" t="s">
        <v>4</v>
      </c>
      <c r="C37" s="4" t="s">
        <v>5</v>
      </c>
      <c r="D37" s="4" t="s">
        <v>6</v>
      </c>
      <c r="E37" s="4" t="s">
        <v>7</v>
      </c>
      <c r="F37" s="5" t="s">
        <v>8</v>
      </c>
    </row>
    <row r="38" spans="1:6" ht="30" customHeight="1" x14ac:dyDescent="0.35">
      <c r="A38" s="6" t="s">
        <v>59</v>
      </c>
      <c r="B38" s="2" t="s">
        <v>60</v>
      </c>
      <c r="C38" s="6">
        <v>350</v>
      </c>
      <c r="D38" s="7">
        <v>65</v>
      </c>
      <c r="E38" s="7">
        <f>C38*D38</f>
        <v>22750</v>
      </c>
      <c r="F38" s="2" t="s">
        <v>61</v>
      </c>
    </row>
    <row r="39" spans="1:6" ht="18" customHeight="1" x14ac:dyDescent="0.35">
      <c r="A39" s="25" t="s">
        <v>32</v>
      </c>
      <c r="B39" s="25"/>
      <c r="C39" s="25"/>
      <c r="D39" s="25"/>
      <c r="E39" s="10">
        <f>SUM(E38:E38)</f>
        <v>22750</v>
      </c>
      <c r="F39" s="11"/>
    </row>
    <row r="41" spans="1:6" ht="18" customHeight="1" x14ac:dyDescent="0.35">
      <c r="A41" s="26" t="s">
        <v>62</v>
      </c>
      <c r="B41" s="26"/>
      <c r="C41" s="26"/>
      <c r="D41" s="26"/>
      <c r="E41" s="26"/>
      <c r="F41" s="26"/>
    </row>
    <row r="42" spans="1:6" ht="30" customHeight="1" x14ac:dyDescent="0.35">
      <c r="A42" s="4" t="s">
        <v>3</v>
      </c>
      <c r="B42" s="5" t="s">
        <v>4</v>
      </c>
      <c r="C42" s="4" t="s">
        <v>5</v>
      </c>
      <c r="D42" s="4" t="s">
        <v>6</v>
      </c>
      <c r="E42" s="4" t="s">
        <v>7</v>
      </c>
      <c r="F42" s="5" t="s">
        <v>8</v>
      </c>
    </row>
    <row r="43" spans="1:6" ht="30" customHeight="1" x14ac:dyDescent="0.35">
      <c r="A43" s="6" t="s">
        <v>63</v>
      </c>
      <c r="B43" s="2" t="s">
        <v>64</v>
      </c>
      <c r="C43" s="6">
        <v>2</v>
      </c>
      <c r="D43" s="7">
        <v>90</v>
      </c>
      <c r="E43" s="7">
        <f>C43*D43</f>
        <v>180</v>
      </c>
      <c r="F43" s="2" t="s">
        <v>65</v>
      </c>
    </row>
    <row r="44" spans="1:6" ht="30" customHeight="1" x14ac:dyDescent="0.35">
      <c r="A44" s="8" t="s">
        <v>66</v>
      </c>
      <c r="B44" s="1" t="s">
        <v>67</v>
      </c>
      <c r="C44" s="8">
        <v>2</v>
      </c>
      <c r="D44" s="9">
        <v>35</v>
      </c>
      <c r="E44" s="9">
        <f>C44*D44</f>
        <v>70</v>
      </c>
      <c r="F44" s="1" t="s">
        <v>68</v>
      </c>
    </row>
    <row r="45" spans="1:6" ht="30" customHeight="1" x14ac:dyDescent="0.35">
      <c r="A45" s="6" t="s">
        <v>69</v>
      </c>
      <c r="B45" s="2" t="s">
        <v>70</v>
      </c>
      <c r="C45" s="6">
        <v>30</v>
      </c>
      <c r="D45" s="7">
        <v>2.2000000000000002</v>
      </c>
      <c r="E45" s="7">
        <f>C45*D45</f>
        <v>66</v>
      </c>
      <c r="F45" s="2" t="s">
        <v>68</v>
      </c>
    </row>
    <row r="46" spans="1:6" ht="18" customHeight="1" x14ac:dyDescent="0.35">
      <c r="A46" s="25" t="s">
        <v>32</v>
      </c>
      <c r="B46" s="25"/>
      <c r="C46" s="25"/>
      <c r="D46" s="25"/>
      <c r="E46" s="10">
        <f>SUM(E43:E45)</f>
        <v>316</v>
      </c>
      <c r="F46" s="11"/>
    </row>
    <row r="48" spans="1:6" ht="18" customHeight="1" x14ac:dyDescent="0.35">
      <c r="A48" s="26" t="s">
        <v>71</v>
      </c>
      <c r="B48" s="26"/>
      <c r="C48" s="26"/>
      <c r="D48" s="26"/>
      <c r="E48" s="26"/>
      <c r="F48" s="26"/>
    </row>
    <row r="49" spans="1:6" ht="30" customHeight="1" x14ac:dyDescent="0.35">
      <c r="A49" s="4" t="s">
        <v>3</v>
      </c>
      <c r="B49" s="5" t="s">
        <v>4</v>
      </c>
      <c r="C49" s="4" t="s">
        <v>5</v>
      </c>
      <c r="D49" s="4" t="s">
        <v>6</v>
      </c>
      <c r="E49" s="4" t="s">
        <v>7</v>
      </c>
      <c r="F49" s="5" t="s">
        <v>8</v>
      </c>
    </row>
    <row r="50" spans="1:6" ht="30" customHeight="1" x14ac:dyDescent="0.35">
      <c r="A50" s="6" t="s">
        <v>72</v>
      </c>
      <c r="B50" s="2" t="s">
        <v>73</v>
      </c>
      <c r="C50" s="6" t="s">
        <v>74</v>
      </c>
      <c r="D50" s="7">
        <v>40</v>
      </c>
      <c r="E50" s="7">
        <f>0.5*13*0.0002*920*D50</f>
        <v>47.84</v>
      </c>
      <c r="F50" s="2" t="s">
        <v>75</v>
      </c>
    </row>
    <row r="51" spans="1:6" ht="30" customHeight="1" x14ac:dyDescent="0.35">
      <c r="A51" s="8" t="s">
        <v>76</v>
      </c>
      <c r="B51" s="1" t="s">
        <v>77</v>
      </c>
      <c r="C51" s="8" t="s">
        <v>74</v>
      </c>
      <c r="D51" s="9">
        <v>40</v>
      </c>
      <c r="E51" s="9">
        <f>1*13*0.0002*920*D51</f>
        <v>95.68</v>
      </c>
      <c r="F51" s="1" t="s">
        <v>75</v>
      </c>
    </row>
    <row r="52" spans="1:6" ht="30" customHeight="1" x14ac:dyDescent="0.35">
      <c r="A52" s="6" t="s">
        <v>78</v>
      </c>
      <c r="B52" s="2" t="s">
        <v>79</v>
      </c>
      <c r="C52" s="6" t="s">
        <v>74</v>
      </c>
      <c r="D52" s="7">
        <v>40</v>
      </c>
      <c r="E52" s="7">
        <f>1.5*13*0.0002*920*D52</f>
        <v>143.52000000000001</v>
      </c>
      <c r="F52" s="2" t="s">
        <v>75</v>
      </c>
    </row>
    <row r="53" spans="1:6" ht="30" customHeight="1" x14ac:dyDescent="0.35">
      <c r="A53" s="8" t="s">
        <v>80</v>
      </c>
      <c r="B53" s="1" t="s">
        <v>81</v>
      </c>
      <c r="C53" s="8" t="s">
        <v>74</v>
      </c>
      <c r="D53" s="9">
        <v>40</v>
      </c>
      <c r="E53" s="9">
        <f>2*13*0.0002*920*D53</f>
        <v>191.36</v>
      </c>
      <c r="F53" s="1" t="s">
        <v>75</v>
      </c>
    </row>
    <row r="54" spans="1:6" ht="30" customHeight="1" x14ac:dyDescent="0.35">
      <c r="A54" s="6" t="s">
        <v>82</v>
      </c>
      <c r="B54" s="2" t="s">
        <v>83</v>
      </c>
      <c r="C54" s="6" t="s">
        <v>74</v>
      </c>
      <c r="D54" s="7">
        <v>40</v>
      </c>
      <c r="E54" s="7">
        <f>3*13*0.0002*920*D54</f>
        <v>287.04000000000002</v>
      </c>
      <c r="F54" s="2" t="s">
        <v>75</v>
      </c>
    </row>
    <row r="55" spans="1:6" ht="30" customHeight="1" x14ac:dyDescent="0.35">
      <c r="A55" s="8" t="s">
        <v>84</v>
      </c>
      <c r="B55" s="1" t="s">
        <v>85</v>
      </c>
      <c r="C55" s="8" t="s">
        <v>74</v>
      </c>
      <c r="D55" s="9">
        <v>40</v>
      </c>
      <c r="E55" s="9">
        <f>4*13*0.0002*920*D55</f>
        <v>382.72</v>
      </c>
      <c r="F55" s="1" t="s">
        <v>75</v>
      </c>
    </row>
    <row r="56" spans="1:6" ht="18" customHeight="1" x14ac:dyDescent="0.35">
      <c r="A56" s="25" t="s">
        <v>32</v>
      </c>
      <c r="B56" s="25"/>
      <c r="C56" s="25"/>
      <c r="D56" s="25"/>
      <c r="E56" s="10">
        <f>SUM(E50:E55)</f>
        <v>1148.1600000000001</v>
      </c>
      <c r="F56" s="11"/>
    </row>
    <row r="58" spans="1:6" ht="21.75" customHeight="1" x14ac:dyDescent="0.35">
      <c r="A58" s="20" t="s">
        <v>86</v>
      </c>
      <c r="B58" s="20"/>
      <c r="C58" s="20"/>
      <c r="D58" s="20"/>
      <c r="E58" s="20"/>
      <c r="F58" s="20"/>
    </row>
    <row r="59" spans="1:6" x14ac:dyDescent="0.35">
      <c r="A59" s="4"/>
      <c r="B59" s="5" t="s">
        <v>87</v>
      </c>
      <c r="C59" s="4"/>
      <c r="D59" s="4"/>
      <c r="E59" s="4"/>
      <c r="F59" s="4" t="s">
        <v>88</v>
      </c>
    </row>
    <row r="60" spans="1:6" ht="18" customHeight="1" x14ac:dyDescent="0.35">
      <c r="A60" s="12" t="s">
        <v>89</v>
      </c>
      <c r="B60" s="23" t="s">
        <v>90</v>
      </c>
      <c r="C60" s="23"/>
      <c r="D60" s="23"/>
      <c r="E60" s="23"/>
      <c r="F60" s="7">
        <f>E14</f>
        <v>3235</v>
      </c>
    </row>
    <row r="61" spans="1:6" ht="18" customHeight="1" x14ac:dyDescent="0.35">
      <c r="A61" s="13" t="s">
        <v>91</v>
      </c>
      <c r="B61" s="22" t="s">
        <v>92</v>
      </c>
      <c r="C61" s="22"/>
      <c r="D61" s="22"/>
      <c r="E61" s="22"/>
      <c r="F61" s="9">
        <f>E19</f>
        <v>640</v>
      </c>
    </row>
    <row r="62" spans="1:6" ht="18" customHeight="1" x14ac:dyDescent="0.35">
      <c r="A62" s="12" t="s">
        <v>93</v>
      </c>
      <c r="B62" s="23" t="s">
        <v>94</v>
      </c>
      <c r="C62" s="23"/>
      <c r="D62" s="23"/>
      <c r="E62" s="23"/>
      <c r="F62" s="7">
        <f>E27</f>
        <v>61.35</v>
      </c>
    </row>
    <row r="63" spans="1:6" ht="18" customHeight="1" x14ac:dyDescent="0.35">
      <c r="A63" s="13" t="s">
        <v>95</v>
      </c>
      <c r="B63" s="22" t="s">
        <v>96</v>
      </c>
      <c r="C63" s="22"/>
      <c r="D63" s="22"/>
      <c r="E63" s="22"/>
      <c r="F63" s="9">
        <f>E34</f>
        <v>215000</v>
      </c>
    </row>
    <row r="64" spans="1:6" ht="18" customHeight="1" x14ac:dyDescent="0.35">
      <c r="A64" s="12" t="s">
        <v>97</v>
      </c>
      <c r="B64" s="23" t="s">
        <v>98</v>
      </c>
      <c r="C64" s="23"/>
      <c r="D64" s="23"/>
      <c r="E64" s="23"/>
      <c r="F64" s="7">
        <f>E39</f>
        <v>22750</v>
      </c>
    </row>
    <row r="65" spans="1:6" ht="18" customHeight="1" x14ac:dyDescent="0.35">
      <c r="A65" s="13" t="s">
        <v>99</v>
      </c>
      <c r="B65" s="22" t="s">
        <v>100</v>
      </c>
      <c r="C65" s="22"/>
      <c r="D65" s="22"/>
      <c r="E65" s="22"/>
      <c r="F65" s="9">
        <f>E46</f>
        <v>316</v>
      </c>
    </row>
    <row r="66" spans="1:6" ht="18" customHeight="1" x14ac:dyDescent="0.35">
      <c r="A66" s="12" t="s">
        <v>101</v>
      </c>
      <c r="B66" s="23" t="s">
        <v>102</v>
      </c>
      <c r="C66" s="23"/>
      <c r="D66" s="23"/>
      <c r="E66" s="23"/>
      <c r="F66" s="7">
        <f>E56</f>
        <v>1148.1600000000001</v>
      </c>
    </row>
    <row r="67" spans="1:6" ht="21.75" customHeight="1" x14ac:dyDescent="0.35">
      <c r="A67" s="24" t="s">
        <v>103</v>
      </c>
      <c r="B67" s="24"/>
      <c r="C67" s="24"/>
      <c r="D67" s="24"/>
      <c r="E67" s="24"/>
      <c r="F67" s="14">
        <f>SUM(F60:F66)</f>
        <v>243150.51</v>
      </c>
    </row>
    <row r="69" spans="1:6" ht="21.75" customHeight="1" x14ac:dyDescent="0.35">
      <c r="A69" s="20" t="s">
        <v>104</v>
      </c>
      <c r="B69" s="20"/>
      <c r="C69" s="20"/>
      <c r="D69" s="20"/>
      <c r="E69" s="20"/>
      <c r="F69" s="20"/>
    </row>
    <row r="70" spans="1:6" x14ac:dyDescent="0.35">
      <c r="A70" s="4"/>
      <c r="B70" s="5" t="s">
        <v>87</v>
      </c>
      <c r="C70" s="4"/>
      <c r="D70" s="4"/>
      <c r="E70" s="4"/>
      <c r="F70" s="4" t="s">
        <v>88</v>
      </c>
    </row>
    <row r="71" spans="1:6" ht="18" customHeight="1" x14ac:dyDescent="0.35">
      <c r="A71" s="2"/>
      <c r="B71" s="21" t="s">
        <v>105</v>
      </c>
      <c r="C71" s="21"/>
      <c r="D71" s="21"/>
      <c r="E71" s="21"/>
      <c r="F71" s="15">
        <f>F67</f>
        <v>243150.51</v>
      </c>
    </row>
    <row r="72" spans="1:6" ht="18" customHeight="1" x14ac:dyDescent="0.35">
      <c r="A72" s="1"/>
      <c r="B72" s="22" t="s">
        <v>106</v>
      </c>
      <c r="C72" s="22"/>
      <c r="D72" s="22"/>
      <c r="E72" s="22"/>
      <c r="F72" s="9">
        <v>3000</v>
      </c>
    </row>
    <row r="73" spans="1:6" ht="18" customHeight="1" x14ac:dyDescent="0.35">
      <c r="A73" s="2"/>
      <c r="B73" s="23" t="s">
        <v>107</v>
      </c>
      <c r="C73" s="23"/>
      <c r="D73" s="23"/>
      <c r="E73" s="23"/>
      <c r="F73" s="7">
        <v>5000</v>
      </c>
    </row>
    <row r="74" spans="1:6" ht="18" customHeight="1" x14ac:dyDescent="0.35">
      <c r="A74" s="1"/>
      <c r="B74" s="22" t="s">
        <v>108</v>
      </c>
      <c r="C74" s="22"/>
      <c r="D74" s="22"/>
      <c r="E74" s="22"/>
      <c r="F74" s="9">
        <f>F67*0.1</f>
        <v>24315.051000000003</v>
      </c>
    </row>
    <row r="75" spans="1:6" ht="24" customHeight="1" x14ac:dyDescent="0.35">
      <c r="A75" s="18" t="s">
        <v>109</v>
      </c>
      <c r="B75" s="18"/>
      <c r="C75" s="18"/>
      <c r="D75" s="18"/>
      <c r="E75" s="18"/>
      <c r="F75" s="16">
        <f>F71+F72+F74</f>
        <v>270465.56099999999</v>
      </c>
    </row>
    <row r="76" spans="1:6" ht="24" customHeight="1" x14ac:dyDescent="0.35">
      <c r="A76" s="19" t="s">
        <v>110</v>
      </c>
      <c r="B76" s="19"/>
      <c r="C76" s="19"/>
      <c r="D76" s="19"/>
      <c r="E76" s="19"/>
      <c r="F76" s="17">
        <f>F71+F73+F74</f>
        <v>272465.56099999999</v>
      </c>
    </row>
  </sheetData>
  <mergeCells count="32">
    <mergeCell ref="A1:F1"/>
    <mergeCell ref="A2:F2"/>
    <mergeCell ref="A4:F4"/>
    <mergeCell ref="A14:D14"/>
    <mergeCell ref="A16:F16"/>
    <mergeCell ref="A19:D19"/>
    <mergeCell ref="A21:F21"/>
    <mergeCell ref="A27:D27"/>
    <mergeCell ref="A29:F29"/>
    <mergeCell ref="A34:D34"/>
    <mergeCell ref="A36:F36"/>
    <mergeCell ref="A39:D39"/>
    <mergeCell ref="A41:F41"/>
    <mergeCell ref="A46:D46"/>
    <mergeCell ref="A48:F48"/>
    <mergeCell ref="A56:D56"/>
    <mergeCell ref="A58:F58"/>
    <mergeCell ref="B60:E60"/>
    <mergeCell ref="B61:E61"/>
    <mergeCell ref="B62:E62"/>
    <mergeCell ref="B63:E63"/>
    <mergeCell ref="B64:E64"/>
    <mergeCell ref="B65:E65"/>
    <mergeCell ref="B66:E66"/>
    <mergeCell ref="A67:E67"/>
    <mergeCell ref="A75:E75"/>
    <mergeCell ref="A76:E76"/>
    <mergeCell ref="A69:F69"/>
    <mergeCell ref="B71:E71"/>
    <mergeCell ref="B72:E72"/>
    <mergeCell ref="B73:E73"/>
    <mergeCell ref="B74:E7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Cost Estimation</vt:lpstr>
      <vt:lpstr>'Cost Estimation'!Impression_des_titres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Swann JOLY</cp:lastModifiedBy>
  <cp:revision>0</cp:revision>
  <dcterms:created xsi:type="dcterms:W3CDTF">2026-05-05T13:53:51Z</dcterms:created>
  <dcterms:modified xsi:type="dcterms:W3CDTF">2026-05-05T17:21:54Z</dcterms:modified>
  <dc:language>en-US</dc:language>
</cp:coreProperties>
</file>